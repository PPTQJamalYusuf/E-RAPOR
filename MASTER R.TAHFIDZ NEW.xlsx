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PPTQ Jamal Yusuf Al-Haddad\02_Pondok\02 Tahfidz\RAPORT TAHFIDZ 2025-2026\"/>
    </mc:Choice>
  </mc:AlternateContent>
  <xr:revisionPtr revIDLastSave="0" documentId="13_ncr:1_{458422E1-C847-4F11-ADD1-2477DE605FED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Master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9" i="25" l="1"/>
  <c r="L8" i="25"/>
  <c r="B13" i="25" l="1"/>
  <c r="B19" i="25"/>
  <c r="E14" i="25"/>
  <c r="E17" i="25" l="1"/>
  <c r="L14" i="25"/>
  <c r="D20" i="25"/>
  <c r="E20" i="25"/>
  <c r="F20" i="25"/>
  <c r="G20" i="25"/>
  <c r="H20" i="25"/>
  <c r="I20" i="25"/>
  <c r="J20" i="25"/>
  <c r="K20" i="25"/>
  <c r="L20" i="25"/>
  <c r="D17" i="25"/>
  <c r="F17" i="25"/>
  <c r="G17" i="25"/>
  <c r="H17" i="25"/>
  <c r="I17" i="25"/>
  <c r="J17" i="25"/>
  <c r="K17" i="25"/>
  <c r="L17" i="25"/>
  <c r="C20" i="25"/>
  <c r="C17" i="25"/>
  <c r="C14" i="25"/>
  <c r="F14" i="25" l="1"/>
  <c r="D14" i="25"/>
  <c r="G14" i="25"/>
  <c r="H14" i="25"/>
  <c r="I14" i="25"/>
  <c r="J14" i="25"/>
  <c r="K14" i="25"/>
  <c r="B16" i="25" l="1"/>
  <c r="B21" i="25" l="1"/>
  <c r="B22" i="25" s="1"/>
  <c r="B23" i="25" s="1"/>
</calcChain>
</file>

<file path=xl/sharedStrings.xml><?xml version="1.0" encoding="utf-8"?>
<sst xmlns="http://schemas.openxmlformats.org/spreadsheetml/2006/main" count="360" uniqueCount="148">
  <si>
    <t>الإسم</t>
  </si>
  <si>
    <t>المستوى</t>
  </si>
  <si>
    <t>الفصل الدراسي</t>
  </si>
  <si>
    <t>عدد الحفظ</t>
  </si>
  <si>
    <t>كشف درجات تحفيظ القرآن</t>
  </si>
  <si>
    <t>المجموع</t>
  </si>
  <si>
    <t>الجزء</t>
  </si>
  <si>
    <t>القرآن الكريم</t>
  </si>
  <si>
    <t>الدرجة رقما</t>
  </si>
  <si>
    <t>التقدير كتابة</t>
  </si>
  <si>
    <t>المجموع الإجمالي</t>
  </si>
  <si>
    <t>التقدير النهائي رقما</t>
  </si>
  <si>
    <t>التقدير النهائي لفظا</t>
  </si>
  <si>
    <t>الترتيب</t>
  </si>
  <si>
    <t>ولي الطالبة</t>
  </si>
  <si>
    <t>رئيسة قسم التحفيظ</t>
  </si>
  <si>
    <t>………………………………..</t>
  </si>
  <si>
    <t>يينى رحمواتـى</t>
  </si>
  <si>
    <t>جزء</t>
  </si>
  <si>
    <t xml:space="preserve">1 juz </t>
  </si>
  <si>
    <t>جزءان</t>
  </si>
  <si>
    <t>2 juz</t>
  </si>
  <si>
    <t>3-10 juz</t>
  </si>
  <si>
    <t>جزءا</t>
  </si>
  <si>
    <t>11-30 juz</t>
  </si>
  <si>
    <t xml:space="preserve">صفحة </t>
  </si>
  <si>
    <t>1, 11 sampai 99</t>
  </si>
  <si>
    <t>صفحتان</t>
  </si>
  <si>
    <t>صفحات</t>
  </si>
  <si>
    <t>3 sampai 10</t>
  </si>
  <si>
    <t>Halaman</t>
  </si>
  <si>
    <t>الثالث</t>
  </si>
  <si>
    <t>الثاني</t>
  </si>
  <si>
    <t>اللأولا</t>
  </si>
  <si>
    <t>kelas</t>
  </si>
  <si>
    <t>أجزاء</t>
  </si>
  <si>
    <t>:</t>
  </si>
  <si>
    <t>NAMA</t>
  </si>
  <si>
    <t>KELAS</t>
  </si>
  <si>
    <t>SEMESTER</t>
  </si>
  <si>
    <t>Ainayya Nuriel Ihsan</t>
  </si>
  <si>
    <t>الأول</t>
  </si>
  <si>
    <t>Annisa Hidayah Nurussunnah</t>
  </si>
  <si>
    <t>Atika Aisyah</t>
  </si>
  <si>
    <t>Aulia Silvina Muklis</t>
  </si>
  <si>
    <t>Az-Zahra Salsabila</t>
  </si>
  <si>
    <t>Chila Miftahul Janah</t>
  </si>
  <si>
    <t>Dechila Fadillah Setiawan</t>
  </si>
  <si>
    <t>Elin Setia Wati</t>
  </si>
  <si>
    <t>Fega Aulia Putri</t>
  </si>
  <si>
    <t>Fhisnia Anisa Sholehah</t>
  </si>
  <si>
    <t>Hanifa</t>
  </si>
  <si>
    <t>Iqlima Izzatul Hasanah</t>
  </si>
  <si>
    <t>Jihan Qonita Khamelia</t>
  </si>
  <si>
    <t>Nadin Hasheiva Zahrani</t>
  </si>
  <si>
    <t>Nadyah Artala Marsid</t>
  </si>
  <si>
    <t>Naiyla Salsabrina</t>
  </si>
  <si>
    <t>Qonitatun Hafizhoh</t>
  </si>
  <si>
    <t>Rayya Faiza Balqis</t>
  </si>
  <si>
    <t>Warisa</t>
  </si>
  <si>
    <t>Akilla Nasywa</t>
  </si>
  <si>
    <t>Alisha Nurmala Dewi</t>
  </si>
  <si>
    <t>Al-Lathifa Pria Hanindyta</t>
  </si>
  <si>
    <t>Annisa Balqis Azzahra</t>
  </si>
  <si>
    <t>Annisa Nabilla Alfania</t>
  </si>
  <si>
    <t>Annisa Rizky Amelia</t>
  </si>
  <si>
    <t>Assyfa Rahma Irawadi</t>
  </si>
  <si>
    <t>Dzakia Rihadatul Adhwa</t>
  </si>
  <si>
    <t>Fina Fadhilatul Muthi'ah</t>
  </si>
  <si>
    <t>Habibah Hasna Sukoco</t>
  </si>
  <si>
    <t>Izza Rahma Wati</t>
  </si>
  <si>
    <t>Jamilatun Humairo</t>
  </si>
  <si>
    <t>Jean Sentari</t>
  </si>
  <si>
    <t xml:space="preserve">Kinar Kirana Chotimah </t>
  </si>
  <si>
    <t>Lathifa Syauqina</t>
  </si>
  <si>
    <t>Leila iren Suprapto</t>
  </si>
  <si>
    <t>Lutvy Al-Muslimah</t>
  </si>
  <si>
    <t>Miftha Talita Zakiah</t>
  </si>
  <si>
    <t>Nabila felicia</t>
  </si>
  <si>
    <t>Nafisatun Najuwa</t>
  </si>
  <si>
    <t>Raqiqa Nurin Mahira</t>
  </si>
  <si>
    <t>Rifta Ikhda Adha Maulida</t>
  </si>
  <si>
    <t>Saffanah Muzdhalifah</t>
  </si>
  <si>
    <t>Salwa Putri Azkia</t>
  </si>
  <si>
    <t>Siti Novianti Qholifah</t>
  </si>
  <si>
    <t>Sunur Najiah Hashifah</t>
  </si>
  <si>
    <t>Syarafana Zoya</t>
  </si>
  <si>
    <t>Tiara Hesti Audina</t>
  </si>
  <si>
    <t>Umi Nur Hidayah</t>
  </si>
  <si>
    <t>Unzila Istiqomah</t>
  </si>
  <si>
    <t>Zahra Saputri</t>
  </si>
  <si>
    <t>Luluk Adelia Lutfia</t>
  </si>
  <si>
    <t>Aziza</t>
  </si>
  <si>
    <t>Aziza Latif</t>
  </si>
  <si>
    <t>Gina Sonya</t>
  </si>
  <si>
    <t>Khana Syelindra Unzila Noer</t>
  </si>
  <si>
    <t>Mufidatul Husna</t>
  </si>
  <si>
    <t>Muflikhatun Istiatul Husnah</t>
  </si>
  <si>
    <t>Naura Syifa</t>
  </si>
  <si>
    <t>Qaila Mumtazah Assakinah</t>
  </si>
  <si>
    <t>Riska Aulia Hidayah</t>
  </si>
  <si>
    <t>Salsha Wangsit Wardani</t>
  </si>
  <si>
    <t>Shabita Attala Kania</t>
  </si>
  <si>
    <t>Sharliz Humaira</t>
  </si>
  <si>
    <t>Tirtana Prasetyo</t>
  </si>
  <si>
    <t>Vebika Sandi Safitri</t>
  </si>
  <si>
    <t>Vina Ashari</t>
  </si>
  <si>
    <t>Zayyini Husna Abida</t>
  </si>
  <si>
    <t>Alfin Umdatus Syifa</t>
  </si>
  <si>
    <t>Chika Kholifatul Latiffa</t>
  </si>
  <si>
    <t>الرابع</t>
  </si>
  <si>
    <t>Dewi Hasanah</t>
  </si>
  <si>
    <t>Difa Anita Mara</t>
  </si>
  <si>
    <t>Khoirun Nis'A</t>
  </si>
  <si>
    <t>Kinanti Diva Meisya</t>
  </si>
  <si>
    <t>Nabila Fatin</t>
  </si>
  <si>
    <t>Natzwa Fitriani</t>
  </si>
  <si>
    <t>Nurma Khoirunnisa</t>
  </si>
  <si>
    <t>Sara Janina Arifin</t>
  </si>
  <si>
    <t>Suci Romadhona</t>
  </si>
  <si>
    <t>Zaskia Rahma Isnaini</t>
  </si>
  <si>
    <t>Eka Wahyu Nur Kholimah</t>
  </si>
  <si>
    <t>Rifa Rumaisya Kamal</t>
  </si>
  <si>
    <t>Aulia Salsabila Lubis</t>
  </si>
  <si>
    <t>الخامس</t>
  </si>
  <si>
    <t>Dina Febriyanti</t>
  </si>
  <si>
    <t>Dinah Syakira</t>
  </si>
  <si>
    <t>Dzulfa Salsabila</t>
  </si>
  <si>
    <t>Jihan Nabila</t>
  </si>
  <si>
    <t>Khanza Nur Rahma Al Magh firah</t>
  </si>
  <si>
    <t>Milani Az Zahra</t>
  </si>
  <si>
    <t>Rumaisha Al-Hawra</t>
  </si>
  <si>
    <t>Sab'Atul Mukharomah</t>
  </si>
  <si>
    <t>Sifa Khalis Dahlina</t>
  </si>
  <si>
    <t>Sifa Khanif Azzahra</t>
  </si>
  <si>
    <t>Sokhivatul Izah</t>
  </si>
  <si>
    <t>Zahirotun Nafisah</t>
  </si>
  <si>
    <t>Zahwa Aqila Rahmania</t>
  </si>
  <si>
    <t>Nazwa Putri Dwi Aulia</t>
  </si>
  <si>
    <t>Alda Aru Ella</t>
  </si>
  <si>
    <t>السادس</t>
  </si>
  <si>
    <t>Aina San Salsabila</t>
  </si>
  <si>
    <t>Aqila Assyifa Shahidah</t>
  </si>
  <si>
    <t>Ayudhia' Sodri'na Na'imah</t>
  </si>
  <si>
    <t>Nadia Anggita</t>
  </si>
  <si>
    <t>Najla Lutfiana Nurjeha</t>
  </si>
  <si>
    <t>No</t>
  </si>
  <si>
    <t>Marisa Amrin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</si>
</sst>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Sakkal Majalla"/>
      <charset val="134"/>
    </font>
    <font>
      <b/>
      <sz val="16"/>
      <color theme="1"/>
      <name val="Berlin Sans FB"/>
      <charset val="134"/>
    </font>
    <font>
      <sz val="11"/>
      <color theme="1"/>
      <name val="Calibri"/>
      <charset val="178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AZ Topaz"/>
      <charset val="134"/>
    </font>
    <font>
      <b/>
      <sz val="1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sz val="12"/>
      <color theme="1"/>
      <name val="Calibri"/>
      <charset val="178"/>
      <scheme val="minor"/>
    </font>
    <font>
      <b/>
      <sz val="2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theme="9" tint="0.39991454817346722"/>
        </stop>
        <stop position="1">
          <color rgb="FF00B050"/>
        </stop>
      </gradientFill>
    </fill>
    <fill>
      <gradientFill degree="90">
        <stop position="0">
          <color theme="9" tint="0.59999389629810485"/>
        </stop>
        <stop position="1">
          <color rgb="FF00B050"/>
        </stop>
      </gradientFill>
    </fill>
    <fill>
      <gradientFill degree="90">
        <stop position="0">
          <color theme="9" tint="0.39991454817346722"/>
        </stop>
        <stop position="1">
          <color rgb="FF92D050"/>
        </stop>
      </gradient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68">
    <xf numFmtId="0" fontId="0" fillId="0" borderId="0" xfId="0"/>
    <xf numFmtId="0" fontId="0" fillId="0" borderId="0" xfId="0" applyAlignment="1">
      <alignment horizontal="right"/>
    </xf>
    <xf numFmtId="0" fontId="3" fillId="0" borderId="0" xfId="1" applyFont="1"/>
    <xf numFmtId="0" fontId="4" fillId="0" borderId="0" xfId="1" applyFont="1"/>
    <xf numFmtId="0" fontId="5" fillId="0" borderId="0" xfId="1"/>
    <xf numFmtId="0" fontId="6" fillId="0" borderId="0" xfId="1" applyFont="1"/>
    <xf numFmtId="0" fontId="6" fillId="0" borderId="0" xfId="1" applyFont="1" applyAlignment="1">
      <alignment horizontal="right" readingOrder="1"/>
    </xf>
    <xf numFmtId="0" fontId="4" fillId="0" borderId="0" xfId="1" applyFont="1" applyAlignment="1">
      <alignment horizontal="right"/>
    </xf>
    <xf numFmtId="0" fontId="6" fillId="0" borderId="0" xfId="1" applyFont="1" applyAlignment="1">
      <alignment horizontal="center" readingOrder="1"/>
    </xf>
    <xf numFmtId="0" fontId="6" fillId="2" borderId="1" xfId="1" applyFont="1" applyFill="1" applyBorder="1" applyAlignment="1">
      <alignment horizontal="center" readingOrder="2"/>
    </xf>
    <xf numFmtId="0" fontId="6" fillId="3" borderId="1" xfId="1" applyFont="1" applyFill="1" applyBorder="1" applyAlignment="1">
      <alignment horizontal="center" readingOrder="2"/>
    </xf>
    <xf numFmtId="0" fontId="6" fillId="0" borderId="0" xfId="1" applyFont="1" applyAlignment="1">
      <alignment horizontal="center" readingOrder="2"/>
    </xf>
    <xf numFmtId="0" fontId="6" fillId="0" borderId="1" xfId="1" applyFont="1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8" fillId="0" borderId="0" xfId="1" applyFont="1" applyAlignment="1">
      <alignment horizontal="center" readingOrder="1"/>
    </xf>
    <xf numFmtId="0" fontId="5" fillId="0" borderId="0" xfId="1" applyAlignment="1">
      <alignment horizontal="center"/>
    </xf>
    <xf numFmtId="0" fontId="9" fillId="0" borderId="0" xfId="1" applyFont="1" applyAlignment="1">
      <alignment horizontal="center"/>
    </xf>
    <xf numFmtId="0" fontId="10" fillId="0" borderId="0" xfId="0" applyFont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readingOrder="2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2"/>
    </xf>
    <xf numFmtId="0" fontId="6" fillId="0" borderId="0" xfId="1" applyFont="1" applyAlignment="1">
      <alignment horizontal="right" vertical="center"/>
    </xf>
    <xf numFmtId="0" fontId="12" fillId="0" borderId="0" xfId="1" applyFont="1"/>
    <xf numFmtId="0" fontId="0" fillId="0" borderId="0" xfId="0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readingOrder="2"/>
    </xf>
    <xf numFmtId="1" fontId="14" fillId="0" borderId="8" xfId="0" applyNumberFormat="1" applyFont="1" applyBorder="1" applyAlignment="1">
      <alignment horizontal="center" readingOrder="2"/>
    </xf>
    <xf numFmtId="16" fontId="0" fillId="0" borderId="0" xfId="0" applyNumberFormat="1"/>
    <xf numFmtId="0" fontId="13" fillId="0" borderId="0" xfId="0" applyFont="1"/>
    <xf numFmtId="0" fontId="13" fillId="0" borderId="0" xfId="0" applyFont="1" applyAlignment="1">
      <alignment horizontal="right" readingOrder="2"/>
    </xf>
    <xf numFmtId="0" fontId="13" fillId="0" borderId="0" xfId="0" applyFont="1" applyAlignment="1">
      <alignment horizontal="right" vertical="center" readingOrder="2"/>
    </xf>
    <xf numFmtId="0" fontId="2" fillId="0" borderId="0" xfId="0" applyFont="1"/>
    <xf numFmtId="0" fontId="0" fillId="0" borderId="0" xfId="0" applyAlignment="1">
      <alignment horizontal="left" readingOrder="1"/>
    </xf>
    <xf numFmtId="2" fontId="14" fillId="0" borderId="8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5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0" xfId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4" xfId="1" applyFont="1" applyBorder="1" applyAlignment="1">
      <alignment horizontal="center" wrapText="1"/>
    </xf>
    <xf numFmtId="0" fontId="6" fillId="0" borderId="5" xfId="1" applyFont="1" applyBorder="1" applyAlignment="1">
      <alignment horizontal="center" wrapText="1"/>
    </xf>
    <xf numFmtId="0" fontId="6" fillId="0" borderId="7" xfId="1" applyFont="1" applyBorder="1" applyAlignment="1">
      <alignment horizontal="center" wrapText="1"/>
    </xf>
    <xf numFmtId="0" fontId="14" fillId="0" borderId="9" xfId="0" applyFont="1" applyBorder="1" applyAlignment="1">
      <alignment horizontal="center" vertical="center" readingOrder="2"/>
    </xf>
    <xf numFmtId="0" fontId="15" fillId="0" borderId="10" xfId="0" applyFont="1" applyBorder="1"/>
    <xf numFmtId="0" fontId="14" fillId="0" borderId="9" xfId="0" quotePrefix="1" applyFont="1" applyBorder="1" applyAlignment="1">
      <alignment horizontal="center" vertical="center" readingOrder="2"/>
    </xf>
    <xf numFmtId="1" fontId="14" fillId="0" borderId="9" xfId="0" applyNumberFormat="1" applyFont="1" applyBorder="1" applyAlignment="1">
      <alignment horizontal="center" vertical="center" readingOrder="2"/>
    </xf>
    <xf numFmtId="0" fontId="11" fillId="4" borderId="2" xfId="1" applyFont="1" applyFill="1" applyBorder="1" applyAlignment="1">
      <alignment horizontal="center" vertical="center" textRotation="90"/>
    </xf>
    <xf numFmtId="0" fontId="11" fillId="4" borderId="6" xfId="1" applyFont="1" applyFill="1" applyBorder="1" applyAlignment="1">
      <alignment horizontal="center" vertical="center" textRotation="90"/>
    </xf>
    <xf numFmtId="0" fontId="11" fillId="4" borderId="3" xfId="1" applyFont="1" applyFill="1" applyBorder="1" applyAlignment="1">
      <alignment horizontal="center" vertical="center" textRotation="90"/>
    </xf>
    <xf numFmtId="0" fontId="6" fillId="0" borderId="1" xfId="1" applyFont="1" applyBorder="1" applyAlignment="1">
      <alignment horizontal="center"/>
    </xf>
    <xf numFmtId="0" fontId="16" fillId="0" borderId="1" xfId="0" applyFont="1" applyFill="1" applyBorder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319618</xdr:colOff>
      <xdr:row>24</xdr:row>
      <xdr:rowOff>63500</xdr:rowOff>
    </xdr:from>
    <xdr:ext cx="2604558" cy="1301751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-1018" b="10869"/>
        <a:stretch>
          <a:fillRect/>
        </a:stretch>
      </xdr:blipFill>
      <xdr:spPr>
        <a:xfrm>
          <a:off x="919480" y="4946650"/>
          <a:ext cx="2604770" cy="1301750"/>
        </a:xfrm>
        <a:prstGeom prst="rect">
          <a:avLst/>
        </a:prstGeom>
      </xdr:spPr>
    </xdr:pic>
    <xdr:clientData/>
  </xdr:oneCellAnchor>
  <xdr:twoCellAnchor editAs="oneCell">
    <xdr:from>
      <xdr:col>1</xdr:col>
      <xdr:colOff>3312</xdr:colOff>
      <xdr:row>0</xdr:row>
      <xdr:rowOff>0</xdr:rowOff>
    </xdr:from>
    <xdr:to>
      <xdr:col>14</xdr:col>
      <xdr:colOff>17808</xdr:colOff>
      <xdr:row>4</xdr:row>
      <xdr:rowOff>124240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0EBC3B-FB88-4301-8194-C0E0251F9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487" y="0"/>
          <a:ext cx="8367921" cy="106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2:V105"/>
  <sheetViews>
    <sheetView tabSelected="1" view="pageLayout" topLeftCell="B1" zoomScaleNormal="100" workbookViewId="0">
      <selection activeCell="L7" sqref="L7"/>
    </sheetView>
  </sheetViews>
  <sheetFormatPr defaultColWidth="9" defaultRowHeight="15"/>
  <cols>
    <col min="12" max="12" width="9.140625" customWidth="1"/>
    <col min="13" max="13" width="10.28515625" customWidth="1"/>
    <col min="14" max="14" width="8.28515625" customWidth="1"/>
    <col min="19" max="19" width="4" bestFit="1" customWidth="1"/>
    <col min="20" max="20" width="32" bestFit="1" customWidth="1"/>
    <col min="21" max="22" width="9" style="25"/>
  </cols>
  <sheetData>
    <row r="2" spans="1:22" ht="24">
      <c r="A2" s="2"/>
      <c r="B2" s="3"/>
      <c r="C2" s="3"/>
      <c r="D2" s="3"/>
      <c r="E2" s="3"/>
      <c r="F2" s="3"/>
      <c r="G2" s="3"/>
      <c r="S2" t="s">
        <v>146</v>
      </c>
      <c r="T2" s="43" t="s">
        <v>37</v>
      </c>
      <c r="U2" s="42" t="s">
        <v>38</v>
      </c>
      <c r="V2" s="42" t="s">
        <v>39</v>
      </c>
    </row>
    <row r="3" spans="1:22" ht="20.25">
      <c r="A3" s="48"/>
      <c r="B3" s="48"/>
      <c r="C3" s="48"/>
      <c r="D3" s="48"/>
      <c r="E3" s="48"/>
      <c r="F3" s="48"/>
      <c r="G3" s="4"/>
      <c r="J3" s="4"/>
      <c r="K3" s="19"/>
      <c r="P3" s="31" t="s">
        <v>34</v>
      </c>
      <c r="S3">
        <v>1</v>
      </c>
      <c r="T3" s="41" t="s">
        <v>141</v>
      </c>
      <c r="U3" s="42" t="s">
        <v>140</v>
      </c>
      <c r="V3" s="42" t="s">
        <v>32</v>
      </c>
    </row>
    <row r="4" spans="1:22">
      <c r="A4" s="4"/>
      <c r="K4" s="20"/>
      <c r="S4">
        <v>2</v>
      </c>
      <c r="T4" s="37" t="s">
        <v>40</v>
      </c>
      <c r="U4" s="42" t="s">
        <v>41</v>
      </c>
      <c r="V4" s="42" t="s">
        <v>32</v>
      </c>
    </row>
    <row r="5" spans="1:22">
      <c r="A5" s="4"/>
      <c r="B5" s="4"/>
      <c r="C5" s="5"/>
      <c r="G5" s="4"/>
      <c r="J5" s="4"/>
      <c r="K5" s="20"/>
      <c r="O5" t="s">
        <v>31</v>
      </c>
      <c r="P5" t="s">
        <v>32</v>
      </c>
      <c r="Q5" s="34" t="s">
        <v>33</v>
      </c>
      <c r="S5">
        <v>3</v>
      </c>
      <c r="T5" s="37" t="s">
        <v>60</v>
      </c>
      <c r="U5" s="42" t="s">
        <v>32</v>
      </c>
      <c r="V5" s="42" t="s">
        <v>32</v>
      </c>
    </row>
    <row r="6" spans="1:22">
      <c r="A6" s="4"/>
      <c r="B6" s="4"/>
      <c r="C6" s="5"/>
      <c r="G6" s="4"/>
      <c r="J6" s="4"/>
      <c r="K6" s="20"/>
      <c r="S6">
        <v>4</v>
      </c>
      <c r="T6" s="41" t="s">
        <v>139</v>
      </c>
      <c r="U6" s="42" t="s">
        <v>140</v>
      </c>
      <c r="V6" s="42" t="s">
        <v>32</v>
      </c>
    </row>
    <row r="7" spans="1:22">
      <c r="A7" s="4"/>
      <c r="L7" s="32" t="s">
        <v>44</v>
      </c>
      <c r="M7" t="s">
        <v>36</v>
      </c>
      <c r="N7" s="5" t="s">
        <v>0</v>
      </c>
      <c r="O7" s="14" t="s">
        <v>18</v>
      </c>
      <c r="P7" t="s">
        <v>19</v>
      </c>
      <c r="S7">
        <v>5</v>
      </c>
      <c r="T7" s="37" t="s">
        <v>108</v>
      </c>
      <c r="U7" s="42" t="s">
        <v>31</v>
      </c>
      <c r="V7" s="42" t="s">
        <v>32</v>
      </c>
    </row>
    <row r="8" spans="1:22">
      <c r="L8" s="32" t="str">
        <f>INDEX($U$3:$U$105, MATCH(Master!L7,$T$3:$T$105,0))</f>
        <v>الأول</v>
      </c>
      <c r="M8" t="s">
        <v>36</v>
      </c>
      <c r="N8" s="5" t="s">
        <v>1</v>
      </c>
      <c r="O8" s="14" t="s">
        <v>20</v>
      </c>
      <c r="P8" t="s">
        <v>21</v>
      </c>
      <c r="S8">
        <v>6</v>
      </c>
      <c r="T8" s="37" t="s">
        <v>61</v>
      </c>
      <c r="U8" s="42" t="s">
        <v>32</v>
      </c>
      <c r="V8" s="42" t="s">
        <v>32</v>
      </c>
    </row>
    <row r="9" spans="1:22" s="1" customFormat="1" ht="20.100000000000001" customHeight="1">
      <c r="A9" s="6"/>
      <c r="C9" s="7"/>
      <c r="D9" s="7"/>
      <c r="E9" s="7"/>
      <c r="F9" s="7"/>
      <c r="G9" s="7"/>
      <c r="H9" s="7"/>
      <c r="I9" s="7"/>
      <c r="J9" s="7"/>
      <c r="L9" s="33" t="str">
        <f>INDEX($V$3:$V$105, MATCH(Master!L7,$T$3:$T$105,0))</f>
        <v>الثاني</v>
      </c>
      <c r="M9" s="35" t="s">
        <v>36</v>
      </c>
      <c r="N9" s="23" t="s">
        <v>2</v>
      </c>
      <c r="O9" s="31" t="s">
        <v>35</v>
      </c>
      <c r="P9" t="s">
        <v>22</v>
      </c>
      <c r="S9">
        <v>7</v>
      </c>
      <c r="T9" s="37" t="s">
        <v>62</v>
      </c>
      <c r="U9" s="42" t="s">
        <v>32</v>
      </c>
      <c r="V9" s="42" t="s">
        <v>32</v>
      </c>
    </row>
    <row r="10" spans="1:22">
      <c r="A10" s="8"/>
      <c r="L10" s="22"/>
      <c r="M10" t="s">
        <v>36</v>
      </c>
      <c r="N10" s="5" t="s">
        <v>3</v>
      </c>
      <c r="O10" s="21" t="s">
        <v>23</v>
      </c>
      <c r="P10" s="1" t="s">
        <v>24</v>
      </c>
      <c r="S10">
        <v>8</v>
      </c>
      <c r="T10" s="37" t="s">
        <v>63</v>
      </c>
      <c r="U10" s="42" t="s">
        <v>32</v>
      </c>
      <c r="V10" s="42" t="s">
        <v>32</v>
      </c>
    </row>
    <row r="11" spans="1:22" ht="18" customHeight="1">
      <c r="A11" s="49" t="s">
        <v>4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S11">
        <v>9</v>
      </c>
      <c r="T11" s="37" t="s">
        <v>42</v>
      </c>
      <c r="U11" s="42" t="s">
        <v>41</v>
      </c>
      <c r="V11" s="42" t="s">
        <v>32</v>
      </c>
    </row>
    <row r="12" spans="1:22">
      <c r="B12" s="9" t="s">
        <v>5</v>
      </c>
      <c r="C12" s="9">
        <v>10</v>
      </c>
      <c r="D12" s="9">
        <v>9</v>
      </c>
      <c r="E12" s="9">
        <v>8</v>
      </c>
      <c r="F12" s="9">
        <v>7</v>
      </c>
      <c r="G12" s="10">
        <v>6</v>
      </c>
      <c r="H12" s="10">
        <v>5</v>
      </c>
      <c r="I12" s="10">
        <v>4</v>
      </c>
      <c r="J12" s="10">
        <v>3</v>
      </c>
      <c r="K12" s="10">
        <v>2</v>
      </c>
      <c r="L12" s="10">
        <v>1</v>
      </c>
      <c r="M12" s="10" t="s">
        <v>6</v>
      </c>
      <c r="N12" s="63" t="s">
        <v>7</v>
      </c>
      <c r="P12" s="31" t="s">
        <v>30</v>
      </c>
      <c r="S12">
        <v>10</v>
      </c>
      <c r="T12" s="37" t="s">
        <v>64</v>
      </c>
      <c r="U12" s="42" t="s">
        <v>32</v>
      </c>
      <c r="V12" s="42" t="s">
        <v>32</v>
      </c>
    </row>
    <row r="13" spans="1:22">
      <c r="B13" s="59">
        <f>SUM(C13:L13)</f>
        <v>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12" t="s">
        <v>8</v>
      </c>
      <c r="N13" s="64"/>
      <c r="O13" t="s">
        <v>25</v>
      </c>
      <c r="P13" t="s">
        <v>26</v>
      </c>
      <c r="S13">
        <v>11</v>
      </c>
      <c r="T13" s="37" t="s">
        <v>65</v>
      </c>
      <c r="U13" s="42" t="s">
        <v>32</v>
      </c>
      <c r="V13" s="42" t="s">
        <v>32</v>
      </c>
    </row>
    <row r="14" spans="1:22">
      <c r="A14" s="5"/>
      <c r="B14" s="60"/>
      <c r="C14" s="27" t="str">
        <f>IF(C13="","", IF(C13&gt;94, "ممتاز", IF(C13&gt;89, "جيّد جدا", IF(C13&gt;84, "جيّد", IF(C13&gt;79, "مقبول", "راسب")))))</f>
        <v/>
      </c>
      <c r="D14" s="27" t="str">
        <f t="shared" ref="D14:K14" si="0">IF(D13="","", IF(D13&gt;94, "ممتاز", IF(D13&gt;89, "جيّد جدا", IF(D13&gt;84, "جيّد", IF(D13&gt;79, "مقبول", "راسب")))))</f>
        <v/>
      </c>
      <c r="E14" s="27" t="str">
        <f>IF(E13="","", IF(E13&gt;94, "ممتاز", IF(E13&gt;89, "جيّد جدا", IF(E13&gt;84, "جيّد", IF(E13&gt;79, "مقبول", "راسب")))))</f>
        <v/>
      </c>
      <c r="F14" s="27" t="str">
        <f t="shared" si="0"/>
        <v/>
      </c>
      <c r="G14" s="27" t="str">
        <f t="shared" si="0"/>
        <v/>
      </c>
      <c r="H14" s="27" t="str">
        <f t="shared" si="0"/>
        <v/>
      </c>
      <c r="I14" s="27" t="str">
        <f t="shared" si="0"/>
        <v/>
      </c>
      <c r="J14" s="27" t="str">
        <f t="shared" si="0"/>
        <v/>
      </c>
      <c r="K14" s="27" t="str">
        <f t="shared" si="0"/>
        <v/>
      </c>
      <c r="L14" s="27" t="str">
        <f>IF(L13="","", IF(L13&gt;94, "ممتاز", IF(L13&gt;89, "جيّد جدا", IF(L13&gt;84, "جيّد", IF(L13&gt;79, "مقبول", "راسب")))))</f>
        <v/>
      </c>
      <c r="M14" s="12" t="s">
        <v>9</v>
      </c>
      <c r="N14" s="64"/>
      <c r="S14">
        <v>12</v>
      </c>
      <c r="T14" s="41" t="s">
        <v>142</v>
      </c>
      <c r="U14" s="42" t="s">
        <v>140</v>
      </c>
      <c r="V14" s="42" t="s">
        <v>32</v>
      </c>
    </row>
    <row r="15" spans="1:22">
      <c r="A15" s="11"/>
      <c r="B15" s="9"/>
      <c r="C15" s="9">
        <v>20</v>
      </c>
      <c r="D15" s="9">
        <v>19</v>
      </c>
      <c r="E15" s="9">
        <v>18</v>
      </c>
      <c r="F15" s="9">
        <v>17</v>
      </c>
      <c r="G15" s="9">
        <v>16</v>
      </c>
      <c r="H15" s="9">
        <v>15</v>
      </c>
      <c r="I15" s="9">
        <v>14</v>
      </c>
      <c r="J15" s="9">
        <v>13</v>
      </c>
      <c r="K15" s="9">
        <v>12</v>
      </c>
      <c r="L15" s="9">
        <v>11</v>
      </c>
      <c r="M15" s="10" t="s">
        <v>6</v>
      </c>
      <c r="N15" s="64"/>
      <c r="O15" t="s">
        <v>27</v>
      </c>
      <c r="P15" s="25">
        <v>2</v>
      </c>
      <c r="S15">
        <v>13</v>
      </c>
      <c r="T15" s="37" t="s">
        <v>66</v>
      </c>
      <c r="U15" s="42" t="s">
        <v>32</v>
      </c>
      <c r="V15" s="42" t="s">
        <v>32</v>
      </c>
    </row>
    <row r="16" spans="1:22">
      <c r="A16" s="5"/>
      <c r="B16" s="61">
        <f>SUM(C16:L16)</f>
        <v>0</v>
      </c>
      <c r="C16" s="28"/>
      <c r="D16" s="28"/>
      <c r="E16" s="28"/>
      <c r="F16" s="28"/>
      <c r="G16" s="28"/>
      <c r="H16" s="26"/>
      <c r="I16" s="26"/>
      <c r="J16" s="26"/>
      <c r="K16" s="26"/>
      <c r="L16" s="26"/>
      <c r="M16" s="12" t="s">
        <v>8</v>
      </c>
      <c r="N16" s="64"/>
      <c r="S16">
        <v>14</v>
      </c>
      <c r="T16" s="37" t="s">
        <v>43</v>
      </c>
      <c r="U16" s="42" t="s">
        <v>41</v>
      </c>
      <c r="V16" s="42" t="s">
        <v>32</v>
      </c>
    </row>
    <row r="17" spans="1:22">
      <c r="A17" s="5"/>
      <c r="B17" s="60"/>
      <c r="C17" s="27" t="str">
        <f>IF(C16="","",IF(C16&gt;94,"ممتاز",IF(C16&gt;89,"جيّد جدا",IF(C16&gt;84,"جيّد",IF(C16&gt;79,"مقبول","راسب")))))</f>
        <v/>
      </c>
      <c r="D17" s="27" t="str">
        <f t="shared" ref="D17:L17" si="1">IF(D16="","",IF(D16&gt;94,"ممتاز",IF(D16&gt;89,"جيّد جدا",IF(D16&gt;84,"جيّد",IF(D16&gt;79,"مقبول","راسب")))))</f>
        <v/>
      </c>
      <c r="E17" s="27" t="str">
        <f t="shared" si="1"/>
        <v/>
      </c>
      <c r="F17" s="27" t="str">
        <f t="shared" si="1"/>
        <v/>
      </c>
      <c r="G17" s="27" t="str">
        <f t="shared" si="1"/>
        <v/>
      </c>
      <c r="H17" s="27" t="str">
        <f t="shared" si="1"/>
        <v/>
      </c>
      <c r="I17" s="27" t="str">
        <f t="shared" si="1"/>
        <v/>
      </c>
      <c r="J17" s="27" t="str">
        <f t="shared" si="1"/>
        <v/>
      </c>
      <c r="K17" s="27" t="str">
        <f t="shared" si="1"/>
        <v/>
      </c>
      <c r="L17" s="27" t="str">
        <f t="shared" si="1"/>
        <v/>
      </c>
      <c r="M17" s="12" t="s">
        <v>9</v>
      </c>
      <c r="N17" s="64"/>
      <c r="O17" t="s">
        <v>28</v>
      </c>
      <c r="P17" s="30" t="s">
        <v>29</v>
      </c>
      <c r="S17">
        <v>15</v>
      </c>
      <c r="T17" s="41" t="s">
        <v>123</v>
      </c>
      <c r="U17" s="42" t="s">
        <v>124</v>
      </c>
      <c r="V17" s="42" t="s">
        <v>32</v>
      </c>
    </row>
    <row r="18" spans="1:22">
      <c r="B18" s="9"/>
      <c r="C18" s="9">
        <v>30</v>
      </c>
      <c r="D18" s="9">
        <v>29</v>
      </c>
      <c r="E18" s="9">
        <v>28</v>
      </c>
      <c r="F18" s="9">
        <v>27</v>
      </c>
      <c r="G18" s="9">
        <v>26</v>
      </c>
      <c r="H18" s="9">
        <v>25</v>
      </c>
      <c r="I18" s="9">
        <v>24</v>
      </c>
      <c r="J18" s="9">
        <v>23</v>
      </c>
      <c r="K18" s="9">
        <v>22</v>
      </c>
      <c r="L18" s="9">
        <v>21</v>
      </c>
      <c r="M18" s="10" t="s">
        <v>6</v>
      </c>
      <c r="N18" s="64"/>
      <c r="S18">
        <v>16</v>
      </c>
      <c r="T18" s="37" t="s">
        <v>44</v>
      </c>
      <c r="U18" s="42" t="s">
        <v>41</v>
      </c>
      <c r="V18" s="42" t="s">
        <v>32</v>
      </c>
    </row>
    <row r="19" spans="1:22">
      <c r="A19" s="5"/>
      <c r="B19" s="62">
        <f>SUM(C19:L19)</f>
        <v>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12" t="s">
        <v>8</v>
      </c>
      <c r="N19" s="64"/>
      <c r="S19">
        <v>17</v>
      </c>
      <c r="T19" s="41" t="s">
        <v>143</v>
      </c>
      <c r="U19" s="42" t="s">
        <v>140</v>
      </c>
      <c r="V19" s="42" t="s">
        <v>32</v>
      </c>
    </row>
    <row r="20" spans="1:22">
      <c r="A20" s="11"/>
      <c r="B20" s="60"/>
      <c r="C20" s="27" t="str">
        <f>IF(C19="","", IF(C19&gt;94, "ممتاز", IF(C19&gt;89, "جيّد جدا", IF(C19&gt;84, "جيّد", IF(C19&gt;79, "مقبول", "راسب")))))</f>
        <v/>
      </c>
      <c r="D20" s="27" t="str">
        <f t="shared" ref="D20:L20" si="2">IF(D19="","", IF(D19&gt;94, "ممتاز", IF(D19&gt;89, "جيّد جدا", IF(D19&gt;84, "جيّد", IF(D19&gt;79, "مقبول", "راسب")))))</f>
        <v/>
      </c>
      <c r="E20" s="27" t="str">
        <f t="shared" si="2"/>
        <v/>
      </c>
      <c r="F20" s="27" t="str">
        <f t="shared" si="2"/>
        <v/>
      </c>
      <c r="G20" s="27" t="str">
        <f t="shared" si="2"/>
        <v/>
      </c>
      <c r="H20" s="27" t="str">
        <f t="shared" si="2"/>
        <v/>
      </c>
      <c r="I20" s="27" t="str">
        <f t="shared" si="2"/>
        <v/>
      </c>
      <c r="J20" s="27" t="str">
        <f t="shared" si="2"/>
        <v/>
      </c>
      <c r="K20" s="27" t="str">
        <f t="shared" si="2"/>
        <v/>
      </c>
      <c r="L20" s="27" t="str">
        <f t="shared" si="2"/>
        <v/>
      </c>
      <c r="M20" s="12" t="s">
        <v>9</v>
      </c>
      <c r="N20" s="64"/>
      <c r="S20">
        <v>18</v>
      </c>
      <c r="T20" s="37" t="s">
        <v>92</v>
      </c>
      <c r="U20" s="42" t="s">
        <v>31</v>
      </c>
      <c r="V20" s="42" t="s">
        <v>32</v>
      </c>
    </row>
    <row r="21" spans="1:22">
      <c r="A21" s="11"/>
      <c r="B21" s="29">
        <f>SUM(B13:B20)</f>
        <v>0</v>
      </c>
      <c r="C21" s="50" t="s">
        <v>10</v>
      </c>
      <c r="D21" s="51"/>
      <c r="E21" s="51"/>
      <c r="F21" s="51"/>
      <c r="G21" s="51"/>
      <c r="H21" s="51"/>
      <c r="I21" s="51"/>
      <c r="J21" s="51"/>
      <c r="K21" s="51"/>
      <c r="L21" s="51"/>
      <c r="M21" s="52"/>
      <c r="N21" s="64"/>
      <c r="S21">
        <v>19</v>
      </c>
      <c r="T21" s="37" t="s">
        <v>93</v>
      </c>
      <c r="U21" s="42" t="s">
        <v>31</v>
      </c>
      <c r="V21" s="42" t="s">
        <v>32</v>
      </c>
    </row>
    <row r="22" spans="1:22">
      <c r="A22" s="11"/>
      <c r="B22" s="36" t="e">
        <f>B21/COUNT(C13:L13,C16:L16,C19:L19)</f>
        <v>#DIV/0!</v>
      </c>
      <c r="C22" s="53" t="s">
        <v>11</v>
      </c>
      <c r="D22" s="54"/>
      <c r="E22" s="54"/>
      <c r="F22" s="54"/>
      <c r="G22" s="54"/>
      <c r="H22" s="54"/>
      <c r="I22" s="54"/>
      <c r="J22" s="54"/>
      <c r="K22" s="54"/>
      <c r="L22" s="54"/>
      <c r="M22" s="55"/>
      <c r="N22" s="64"/>
      <c r="S22">
        <v>20</v>
      </c>
      <c r="T22" s="37" t="s">
        <v>45</v>
      </c>
      <c r="U22" s="42" t="s">
        <v>41</v>
      </c>
      <c r="V22" s="42" t="s">
        <v>32</v>
      </c>
    </row>
    <row r="23" spans="1:22">
      <c r="B23" s="27" t="e">
        <f>IF(ROUND(B22,0)&gt;=95,"ممتاز",IF(ROUND(B22,0)&gt;=90,"جيّد جدا",IF(ROUND(B22,0)&gt;=85,"جيّد",IF(ROUND(B22,0)&gt;=80,"مقبول","راسب"))))</f>
        <v>#DIV/0!</v>
      </c>
      <c r="C23" s="56" t="s">
        <v>12</v>
      </c>
      <c r="D23" s="57"/>
      <c r="E23" s="57"/>
      <c r="F23" s="57"/>
      <c r="G23" s="57"/>
      <c r="H23" s="57"/>
      <c r="I23" s="57"/>
      <c r="J23" s="57"/>
      <c r="K23" s="57"/>
      <c r="L23" s="57"/>
      <c r="M23" s="58"/>
      <c r="N23" s="64"/>
      <c r="S23">
        <v>21</v>
      </c>
      <c r="T23" s="37" t="s">
        <v>109</v>
      </c>
      <c r="U23" s="42" t="s">
        <v>110</v>
      </c>
      <c r="V23" s="42" t="s">
        <v>32</v>
      </c>
    </row>
    <row r="24" spans="1:22">
      <c r="A24" s="5"/>
      <c r="B24" s="13"/>
      <c r="C24" s="66" t="s">
        <v>13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5"/>
      <c r="S24">
        <v>22</v>
      </c>
      <c r="T24" s="37" t="s">
        <v>46</v>
      </c>
      <c r="U24" s="42" t="s">
        <v>41</v>
      </c>
      <c r="V24" s="42" t="s">
        <v>32</v>
      </c>
    </row>
    <row r="25" spans="1:22">
      <c r="A25" s="5"/>
      <c r="S25">
        <v>23</v>
      </c>
      <c r="T25" s="37" t="s">
        <v>47</v>
      </c>
      <c r="U25" s="42" t="s">
        <v>41</v>
      </c>
      <c r="V25" s="42" t="s">
        <v>32</v>
      </c>
    </row>
    <row r="26" spans="1:22" ht="15.75">
      <c r="A26" s="5"/>
      <c r="F26" s="14"/>
      <c r="G26" s="14"/>
      <c r="H26" s="44" t="s">
        <v>14</v>
      </c>
      <c r="I26" s="44"/>
      <c r="J26" s="14"/>
      <c r="K26" s="24"/>
      <c r="L26" s="45" t="s">
        <v>15</v>
      </c>
      <c r="M26" s="45"/>
      <c r="S26">
        <v>24</v>
      </c>
      <c r="T26" s="37" t="s">
        <v>111</v>
      </c>
      <c r="U26" s="42" t="s">
        <v>110</v>
      </c>
      <c r="V26" s="42" t="s">
        <v>32</v>
      </c>
    </row>
    <row r="27" spans="1:22">
      <c r="B27" s="4"/>
      <c r="F27" s="14"/>
      <c r="I27" s="25"/>
      <c r="J27" s="25"/>
      <c r="S27">
        <v>25</v>
      </c>
      <c r="T27" s="37" t="s">
        <v>112</v>
      </c>
      <c r="U27" s="42" t="s">
        <v>110</v>
      </c>
      <c r="V27" s="42" t="s">
        <v>32</v>
      </c>
    </row>
    <row r="28" spans="1:22">
      <c r="A28" s="15"/>
      <c r="B28" s="4"/>
      <c r="F28" s="14"/>
      <c r="K28" s="5"/>
      <c r="M28" s="14"/>
      <c r="S28">
        <v>26</v>
      </c>
      <c r="T28" s="41" t="s">
        <v>125</v>
      </c>
      <c r="U28" s="42" t="s">
        <v>124</v>
      </c>
      <c r="V28" s="42" t="s">
        <v>32</v>
      </c>
    </row>
    <row r="29" spans="1:22">
      <c r="A29" s="8"/>
      <c r="B29" s="4"/>
      <c r="F29" s="14"/>
      <c r="K29" s="14"/>
      <c r="M29" s="14"/>
      <c r="S29">
        <v>27</v>
      </c>
      <c r="T29" s="41" t="s">
        <v>126</v>
      </c>
      <c r="U29" s="42" t="s">
        <v>124</v>
      </c>
      <c r="V29" s="42" t="s">
        <v>32</v>
      </c>
    </row>
    <row r="30" spans="1:22">
      <c r="A30" s="8"/>
      <c r="B30" s="16"/>
      <c r="K30" s="4"/>
      <c r="S30">
        <v>28</v>
      </c>
      <c r="T30" s="37" t="s">
        <v>67</v>
      </c>
      <c r="U30" s="42" t="s">
        <v>32</v>
      </c>
      <c r="V30" s="42" t="s">
        <v>32</v>
      </c>
    </row>
    <row r="31" spans="1:22" ht="15.75">
      <c r="A31" s="8"/>
      <c r="B31" s="16"/>
      <c r="C31" s="4"/>
      <c r="D31" s="17"/>
      <c r="G31" s="18"/>
      <c r="H31" s="46" t="s">
        <v>16</v>
      </c>
      <c r="I31" s="46"/>
      <c r="J31" s="18"/>
      <c r="L31" s="47" t="s">
        <v>17</v>
      </c>
      <c r="M31" s="47"/>
      <c r="S31">
        <v>29</v>
      </c>
      <c r="T31" s="41" t="s">
        <v>127</v>
      </c>
      <c r="U31" s="42" t="s">
        <v>124</v>
      </c>
      <c r="V31" s="42" t="s">
        <v>32</v>
      </c>
    </row>
    <row r="32" spans="1:22">
      <c r="S32">
        <v>30</v>
      </c>
      <c r="T32" s="38" t="s">
        <v>121</v>
      </c>
      <c r="U32" s="42" t="s">
        <v>110</v>
      </c>
      <c r="V32" s="42" t="s">
        <v>32</v>
      </c>
    </row>
    <row r="33" spans="19:22">
      <c r="S33">
        <v>31</v>
      </c>
      <c r="T33" s="37" t="s">
        <v>48</v>
      </c>
      <c r="U33" s="42" t="s">
        <v>41</v>
      </c>
      <c r="V33" s="42" t="s">
        <v>32</v>
      </c>
    </row>
    <row r="34" spans="19:22">
      <c r="S34">
        <v>32</v>
      </c>
      <c r="T34" s="37" t="s">
        <v>49</v>
      </c>
      <c r="U34" s="42" t="s">
        <v>41</v>
      </c>
      <c r="V34" s="42" t="s">
        <v>32</v>
      </c>
    </row>
    <row r="35" spans="19:22">
      <c r="S35">
        <v>33</v>
      </c>
      <c r="T35" s="37" t="s">
        <v>50</v>
      </c>
      <c r="U35" s="42" t="s">
        <v>41</v>
      </c>
      <c r="V35" s="42" t="s">
        <v>32</v>
      </c>
    </row>
    <row r="36" spans="19:22">
      <c r="S36">
        <v>34</v>
      </c>
      <c r="T36" s="37" t="s">
        <v>68</v>
      </c>
      <c r="U36" s="42" t="s">
        <v>32</v>
      </c>
      <c r="V36" s="42" t="s">
        <v>32</v>
      </c>
    </row>
    <row r="37" spans="19:22">
      <c r="S37">
        <v>35</v>
      </c>
      <c r="T37" s="37" t="s">
        <v>94</v>
      </c>
      <c r="U37" s="42" t="s">
        <v>31</v>
      </c>
      <c r="V37" s="42" t="s">
        <v>32</v>
      </c>
    </row>
    <row r="38" spans="19:22">
      <c r="S38">
        <v>36</v>
      </c>
      <c r="T38" s="37" t="s">
        <v>69</v>
      </c>
      <c r="U38" s="42" t="s">
        <v>32</v>
      </c>
      <c r="V38" s="42" t="s">
        <v>32</v>
      </c>
    </row>
    <row r="39" spans="19:22">
      <c r="S39">
        <v>37</v>
      </c>
      <c r="T39" s="37" t="s">
        <v>51</v>
      </c>
      <c r="U39" s="42" t="s">
        <v>41</v>
      </c>
      <c r="V39" s="42" t="s">
        <v>32</v>
      </c>
    </row>
    <row r="40" spans="19:22">
      <c r="S40">
        <v>38</v>
      </c>
      <c r="T40" s="37" t="s">
        <v>52</v>
      </c>
      <c r="U40" s="42" t="s">
        <v>41</v>
      </c>
      <c r="V40" s="42" t="s">
        <v>32</v>
      </c>
    </row>
    <row r="41" spans="19:22">
      <c r="S41">
        <v>39</v>
      </c>
      <c r="T41" s="37" t="s">
        <v>70</v>
      </c>
      <c r="U41" s="42" t="s">
        <v>32</v>
      </c>
      <c r="V41" s="42" t="s">
        <v>32</v>
      </c>
    </row>
    <row r="42" spans="19:22">
      <c r="S42">
        <v>40</v>
      </c>
      <c r="T42" s="37" t="s">
        <v>71</v>
      </c>
      <c r="U42" s="42" t="s">
        <v>32</v>
      </c>
      <c r="V42" s="42" t="s">
        <v>32</v>
      </c>
    </row>
    <row r="43" spans="19:22">
      <c r="S43">
        <v>41</v>
      </c>
      <c r="T43" s="37" t="s">
        <v>72</v>
      </c>
      <c r="U43" s="42" t="s">
        <v>32</v>
      </c>
      <c r="V43" s="42" t="s">
        <v>32</v>
      </c>
    </row>
    <row r="44" spans="19:22">
      <c r="S44">
        <v>42</v>
      </c>
      <c r="T44" s="41" t="s">
        <v>128</v>
      </c>
      <c r="U44" s="42" t="s">
        <v>124</v>
      </c>
      <c r="V44" s="42" t="s">
        <v>32</v>
      </c>
    </row>
    <row r="45" spans="19:22">
      <c r="S45">
        <v>43</v>
      </c>
      <c r="T45" s="37" t="s">
        <v>53</v>
      </c>
      <c r="U45" s="42" t="s">
        <v>41</v>
      </c>
      <c r="V45" s="42" t="s">
        <v>32</v>
      </c>
    </row>
    <row r="46" spans="19:22">
      <c r="S46">
        <v>44</v>
      </c>
      <c r="T46" s="37" t="s">
        <v>95</v>
      </c>
      <c r="U46" s="42" t="s">
        <v>31</v>
      </c>
      <c r="V46" s="42" t="s">
        <v>32</v>
      </c>
    </row>
    <row r="47" spans="19:22">
      <c r="S47">
        <v>45</v>
      </c>
      <c r="T47" s="41" t="s">
        <v>129</v>
      </c>
      <c r="U47" s="42" t="s">
        <v>124</v>
      </c>
      <c r="V47" s="42" t="s">
        <v>32</v>
      </c>
    </row>
    <row r="48" spans="19:22">
      <c r="S48">
        <v>46</v>
      </c>
      <c r="T48" s="37" t="s">
        <v>113</v>
      </c>
      <c r="U48" s="42" t="s">
        <v>110</v>
      </c>
      <c r="V48" s="42" t="s">
        <v>32</v>
      </c>
    </row>
    <row r="49" spans="19:22">
      <c r="S49">
        <v>47</v>
      </c>
      <c r="T49" s="37" t="s">
        <v>114</v>
      </c>
      <c r="U49" s="42" t="s">
        <v>110</v>
      </c>
      <c r="V49" s="42" t="s">
        <v>32</v>
      </c>
    </row>
    <row r="50" spans="19:22">
      <c r="S50">
        <v>48</v>
      </c>
      <c r="T50" s="37" t="s">
        <v>73</v>
      </c>
      <c r="U50" s="42" t="s">
        <v>32</v>
      </c>
      <c r="V50" s="42" t="s">
        <v>32</v>
      </c>
    </row>
    <row r="51" spans="19:22">
      <c r="S51">
        <v>49</v>
      </c>
      <c r="T51" s="37" t="s">
        <v>74</v>
      </c>
      <c r="U51" s="42" t="s">
        <v>32</v>
      </c>
      <c r="V51" s="42" t="s">
        <v>32</v>
      </c>
    </row>
    <row r="52" spans="19:22">
      <c r="S52">
        <v>50</v>
      </c>
      <c r="T52" s="37" t="s">
        <v>75</v>
      </c>
      <c r="U52" s="42" t="s">
        <v>32</v>
      </c>
      <c r="V52" s="42" t="s">
        <v>32</v>
      </c>
    </row>
    <row r="53" spans="19:22">
      <c r="S53">
        <v>51</v>
      </c>
      <c r="T53" s="40" t="s">
        <v>91</v>
      </c>
      <c r="U53" s="42" t="s">
        <v>32</v>
      </c>
      <c r="V53" s="42" t="s">
        <v>32</v>
      </c>
    </row>
    <row r="54" spans="19:22">
      <c r="S54">
        <v>52</v>
      </c>
      <c r="T54" s="37" t="s">
        <v>76</v>
      </c>
      <c r="U54" s="42" t="s">
        <v>32</v>
      </c>
      <c r="V54" s="42" t="s">
        <v>32</v>
      </c>
    </row>
    <row r="55" spans="19:22">
      <c r="S55">
        <v>53</v>
      </c>
      <c r="T55" s="37" t="s">
        <v>77</v>
      </c>
      <c r="U55" s="42" t="s">
        <v>32</v>
      </c>
      <c r="V55" s="42" t="s">
        <v>32</v>
      </c>
    </row>
    <row r="56" spans="19:22">
      <c r="S56">
        <v>54</v>
      </c>
      <c r="T56" s="41" t="s">
        <v>130</v>
      </c>
      <c r="U56" s="42" t="s">
        <v>124</v>
      </c>
      <c r="V56" s="42" t="s">
        <v>32</v>
      </c>
    </row>
    <row r="57" spans="19:22">
      <c r="S57">
        <v>55</v>
      </c>
      <c r="T57" s="37" t="s">
        <v>96</v>
      </c>
      <c r="U57" s="42" t="s">
        <v>31</v>
      </c>
      <c r="V57" s="42" t="s">
        <v>32</v>
      </c>
    </row>
    <row r="58" spans="19:22">
      <c r="S58">
        <v>56</v>
      </c>
      <c r="T58" s="37" t="s">
        <v>97</v>
      </c>
      <c r="U58" s="42" t="s">
        <v>31</v>
      </c>
      <c r="V58" s="42" t="s">
        <v>32</v>
      </c>
    </row>
    <row r="59" spans="19:22">
      <c r="S59">
        <v>57</v>
      </c>
      <c r="T59" s="37" t="s">
        <v>115</v>
      </c>
      <c r="U59" s="42" t="s">
        <v>110</v>
      </c>
      <c r="V59" s="42" t="s">
        <v>32</v>
      </c>
    </row>
    <row r="60" spans="19:22">
      <c r="S60">
        <v>58</v>
      </c>
      <c r="T60" s="37" t="s">
        <v>78</v>
      </c>
      <c r="U60" s="42" t="s">
        <v>32</v>
      </c>
      <c r="V60" s="42" t="s">
        <v>32</v>
      </c>
    </row>
    <row r="61" spans="19:22">
      <c r="S61">
        <v>59</v>
      </c>
      <c r="T61" s="41" t="s">
        <v>144</v>
      </c>
      <c r="U61" s="42" t="s">
        <v>140</v>
      </c>
      <c r="V61" s="42" t="s">
        <v>32</v>
      </c>
    </row>
    <row r="62" spans="19:22">
      <c r="S62">
        <v>60</v>
      </c>
      <c r="T62" s="37" t="s">
        <v>54</v>
      </c>
      <c r="U62" s="42" t="s">
        <v>41</v>
      </c>
      <c r="V62" s="42" t="s">
        <v>32</v>
      </c>
    </row>
    <row r="63" spans="19:22">
      <c r="S63">
        <v>61</v>
      </c>
      <c r="T63" s="37" t="s">
        <v>55</v>
      </c>
      <c r="U63" s="42" t="s">
        <v>41</v>
      </c>
      <c r="V63" s="42" t="s">
        <v>32</v>
      </c>
    </row>
    <row r="64" spans="19:22">
      <c r="S64">
        <v>62</v>
      </c>
      <c r="T64" s="38" t="s">
        <v>79</v>
      </c>
      <c r="U64" s="42" t="s">
        <v>32</v>
      </c>
      <c r="V64" s="42" t="s">
        <v>32</v>
      </c>
    </row>
    <row r="65" spans="19:22">
      <c r="S65">
        <v>63</v>
      </c>
      <c r="T65" s="37" t="s">
        <v>56</v>
      </c>
      <c r="U65" s="42" t="s">
        <v>41</v>
      </c>
      <c r="V65" s="42" t="s">
        <v>32</v>
      </c>
    </row>
    <row r="66" spans="19:22">
      <c r="S66">
        <v>64</v>
      </c>
      <c r="T66" s="41" t="s">
        <v>145</v>
      </c>
      <c r="U66" s="42" t="s">
        <v>140</v>
      </c>
      <c r="V66" s="42" t="s">
        <v>32</v>
      </c>
    </row>
    <row r="67" spans="19:22">
      <c r="S67">
        <v>65</v>
      </c>
      <c r="T67" s="37" t="s">
        <v>116</v>
      </c>
      <c r="U67" s="42" t="s">
        <v>110</v>
      </c>
      <c r="V67" s="42" t="s">
        <v>32</v>
      </c>
    </row>
    <row r="68" spans="19:22">
      <c r="S68">
        <v>66</v>
      </c>
      <c r="T68" s="37" t="s">
        <v>98</v>
      </c>
      <c r="U68" s="42" t="s">
        <v>31</v>
      </c>
      <c r="V68" s="42" t="s">
        <v>32</v>
      </c>
    </row>
    <row r="69" spans="19:22">
      <c r="S69">
        <v>67</v>
      </c>
      <c r="T69" s="41" t="s">
        <v>138</v>
      </c>
      <c r="U69" s="42" t="s">
        <v>124</v>
      </c>
      <c r="V69" s="42" t="s">
        <v>32</v>
      </c>
    </row>
    <row r="70" spans="19:22">
      <c r="S70">
        <v>68</v>
      </c>
      <c r="T70" s="37" t="s">
        <v>117</v>
      </c>
      <c r="U70" s="42" t="s">
        <v>110</v>
      </c>
      <c r="V70" s="42" t="s">
        <v>32</v>
      </c>
    </row>
    <row r="71" spans="19:22">
      <c r="S71">
        <v>69</v>
      </c>
      <c r="T71" s="37" t="s">
        <v>99</v>
      </c>
      <c r="U71" s="42" t="s">
        <v>31</v>
      </c>
      <c r="V71" s="42" t="s">
        <v>32</v>
      </c>
    </row>
    <row r="72" spans="19:22">
      <c r="S72">
        <v>70</v>
      </c>
      <c r="T72" s="37" t="s">
        <v>57</v>
      </c>
      <c r="U72" s="42" t="s">
        <v>41</v>
      </c>
      <c r="V72" s="42" t="s">
        <v>32</v>
      </c>
    </row>
    <row r="73" spans="19:22">
      <c r="S73">
        <v>71</v>
      </c>
      <c r="T73" s="37" t="s">
        <v>80</v>
      </c>
      <c r="U73" s="42" t="s">
        <v>32</v>
      </c>
      <c r="V73" s="42" t="s">
        <v>32</v>
      </c>
    </row>
    <row r="74" spans="19:22">
      <c r="S74">
        <v>72</v>
      </c>
      <c r="T74" s="37" t="s">
        <v>58</v>
      </c>
      <c r="U74" s="42" t="s">
        <v>41</v>
      </c>
      <c r="V74" s="42" t="s">
        <v>32</v>
      </c>
    </row>
    <row r="75" spans="19:22">
      <c r="S75">
        <v>73</v>
      </c>
      <c r="T75" s="37" t="s">
        <v>122</v>
      </c>
      <c r="U75" s="42" t="s">
        <v>110</v>
      </c>
      <c r="V75" s="42" t="s">
        <v>32</v>
      </c>
    </row>
    <row r="76" spans="19:22">
      <c r="S76">
        <v>74</v>
      </c>
      <c r="T76" s="37" t="s">
        <v>81</v>
      </c>
      <c r="U76" s="42" t="s">
        <v>32</v>
      </c>
      <c r="V76" s="42" t="s">
        <v>32</v>
      </c>
    </row>
    <row r="77" spans="19:22">
      <c r="S77">
        <v>75</v>
      </c>
      <c r="T77" s="37" t="s">
        <v>100</v>
      </c>
      <c r="U77" s="42" t="s">
        <v>31</v>
      </c>
      <c r="V77" s="42" t="s">
        <v>32</v>
      </c>
    </row>
    <row r="78" spans="19:22">
      <c r="S78">
        <v>76</v>
      </c>
      <c r="T78" s="41" t="s">
        <v>131</v>
      </c>
      <c r="U78" s="42" t="s">
        <v>124</v>
      </c>
      <c r="V78" s="42" t="s">
        <v>32</v>
      </c>
    </row>
    <row r="79" spans="19:22">
      <c r="S79">
        <v>77</v>
      </c>
      <c r="T79" s="41" t="s">
        <v>132</v>
      </c>
      <c r="U79" s="42" t="s">
        <v>124</v>
      </c>
      <c r="V79" s="42" t="s">
        <v>32</v>
      </c>
    </row>
    <row r="80" spans="19:22">
      <c r="S80">
        <v>78</v>
      </c>
      <c r="T80" s="39" t="s">
        <v>82</v>
      </c>
      <c r="U80" s="42" t="s">
        <v>32</v>
      </c>
      <c r="V80" s="42" t="s">
        <v>32</v>
      </c>
    </row>
    <row r="81" spans="19:22">
      <c r="S81">
        <v>79</v>
      </c>
      <c r="T81" s="37" t="s">
        <v>101</v>
      </c>
      <c r="U81" s="42" t="s">
        <v>31</v>
      </c>
      <c r="V81" s="42" t="s">
        <v>32</v>
      </c>
    </row>
    <row r="82" spans="19:22">
      <c r="S82">
        <v>80</v>
      </c>
      <c r="T82" s="38" t="s">
        <v>83</v>
      </c>
      <c r="U82" s="42" t="s">
        <v>32</v>
      </c>
      <c r="V82" s="42" t="s">
        <v>32</v>
      </c>
    </row>
    <row r="83" spans="19:22">
      <c r="S83">
        <v>81</v>
      </c>
      <c r="T83" s="37" t="s">
        <v>118</v>
      </c>
      <c r="U83" s="42" t="s">
        <v>110</v>
      </c>
      <c r="V83" s="42" t="s">
        <v>32</v>
      </c>
    </row>
    <row r="84" spans="19:22">
      <c r="S84">
        <v>82</v>
      </c>
      <c r="T84" s="37" t="s">
        <v>102</v>
      </c>
      <c r="U84" s="42" t="s">
        <v>31</v>
      </c>
      <c r="V84" s="42" t="s">
        <v>32</v>
      </c>
    </row>
    <row r="85" spans="19:22">
      <c r="S85">
        <v>83</v>
      </c>
      <c r="T85" s="37" t="s">
        <v>103</v>
      </c>
      <c r="U85" s="42" t="s">
        <v>31</v>
      </c>
      <c r="V85" s="42" t="s">
        <v>32</v>
      </c>
    </row>
    <row r="86" spans="19:22">
      <c r="S86">
        <v>84</v>
      </c>
      <c r="T86" s="41" t="s">
        <v>133</v>
      </c>
      <c r="U86" s="42" t="s">
        <v>124</v>
      </c>
      <c r="V86" s="42" t="s">
        <v>32</v>
      </c>
    </row>
    <row r="87" spans="19:22">
      <c r="S87">
        <v>85</v>
      </c>
      <c r="T87" s="41" t="s">
        <v>134</v>
      </c>
      <c r="U87" s="42" t="s">
        <v>124</v>
      </c>
      <c r="V87" s="42" t="s">
        <v>32</v>
      </c>
    </row>
    <row r="88" spans="19:22">
      <c r="S88">
        <v>86</v>
      </c>
      <c r="T88" s="38" t="s">
        <v>84</v>
      </c>
      <c r="U88" s="42" t="s">
        <v>32</v>
      </c>
      <c r="V88" s="42" t="s">
        <v>32</v>
      </c>
    </row>
    <row r="89" spans="19:22">
      <c r="S89">
        <v>87</v>
      </c>
      <c r="T89" s="41" t="s">
        <v>135</v>
      </c>
      <c r="U89" s="42" t="s">
        <v>124</v>
      </c>
      <c r="V89" s="42" t="s">
        <v>32</v>
      </c>
    </row>
    <row r="90" spans="19:22">
      <c r="S90">
        <v>88</v>
      </c>
      <c r="T90" s="37" t="s">
        <v>119</v>
      </c>
      <c r="U90" s="42" t="s">
        <v>110</v>
      </c>
      <c r="V90" s="42" t="s">
        <v>32</v>
      </c>
    </row>
    <row r="91" spans="19:22">
      <c r="S91">
        <v>89</v>
      </c>
      <c r="T91" s="38" t="s">
        <v>85</v>
      </c>
      <c r="U91" s="42" t="s">
        <v>32</v>
      </c>
      <c r="V91" s="42" t="s">
        <v>32</v>
      </c>
    </row>
    <row r="92" spans="19:22">
      <c r="S92">
        <v>90</v>
      </c>
      <c r="T92" s="38" t="s">
        <v>86</v>
      </c>
      <c r="U92" s="42" t="s">
        <v>32</v>
      </c>
      <c r="V92" s="42" t="s">
        <v>32</v>
      </c>
    </row>
    <row r="93" spans="19:22">
      <c r="S93">
        <v>91</v>
      </c>
      <c r="T93" s="38" t="s">
        <v>87</v>
      </c>
      <c r="U93" s="42" t="s">
        <v>32</v>
      </c>
      <c r="V93" s="42" t="s">
        <v>32</v>
      </c>
    </row>
    <row r="94" spans="19:22">
      <c r="S94">
        <v>92</v>
      </c>
      <c r="T94" s="37" t="s">
        <v>104</v>
      </c>
      <c r="U94" s="42" t="s">
        <v>31</v>
      </c>
      <c r="V94" s="42" t="s">
        <v>32</v>
      </c>
    </row>
    <row r="95" spans="19:22">
      <c r="S95">
        <v>93</v>
      </c>
      <c r="T95" s="38" t="s">
        <v>88</v>
      </c>
      <c r="U95" s="42" t="s">
        <v>32</v>
      </c>
      <c r="V95" s="42" t="s">
        <v>32</v>
      </c>
    </row>
    <row r="96" spans="19:22">
      <c r="S96">
        <v>94</v>
      </c>
      <c r="T96" s="38" t="s">
        <v>89</v>
      </c>
      <c r="U96" s="42" t="s">
        <v>32</v>
      </c>
      <c r="V96" s="42" t="s">
        <v>32</v>
      </c>
    </row>
    <row r="97" spans="19:22">
      <c r="S97">
        <v>95</v>
      </c>
      <c r="T97" s="37" t="s">
        <v>105</v>
      </c>
      <c r="U97" s="42" t="s">
        <v>31</v>
      </c>
      <c r="V97" s="42" t="s">
        <v>32</v>
      </c>
    </row>
    <row r="98" spans="19:22">
      <c r="S98">
        <v>96</v>
      </c>
      <c r="T98" s="37" t="s">
        <v>106</v>
      </c>
      <c r="U98" s="42" t="s">
        <v>31</v>
      </c>
      <c r="V98" s="42" t="s">
        <v>32</v>
      </c>
    </row>
    <row r="99" spans="19:22">
      <c r="S99">
        <v>97</v>
      </c>
      <c r="T99" s="37" t="s">
        <v>59</v>
      </c>
      <c r="U99" s="42" t="s">
        <v>41</v>
      </c>
      <c r="V99" s="42" t="s">
        <v>32</v>
      </c>
    </row>
    <row r="100" spans="19:22">
      <c r="S100">
        <v>98</v>
      </c>
      <c r="T100" s="41" t="s">
        <v>136</v>
      </c>
      <c r="U100" s="42" t="s">
        <v>124</v>
      </c>
      <c r="V100" s="42" t="s">
        <v>32</v>
      </c>
    </row>
    <row r="101" spans="19:22">
      <c r="S101">
        <v>99</v>
      </c>
      <c r="T101" s="38" t="s">
        <v>90</v>
      </c>
      <c r="U101" s="42" t="s">
        <v>32</v>
      </c>
      <c r="V101" s="42" t="s">
        <v>32</v>
      </c>
    </row>
    <row r="102" spans="19:22">
      <c r="S102">
        <v>100</v>
      </c>
      <c r="T102" s="41" t="s">
        <v>137</v>
      </c>
      <c r="U102" s="42" t="s">
        <v>124</v>
      </c>
      <c r="V102" s="42" t="s">
        <v>32</v>
      </c>
    </row>
    <row r="103" spans="19:22">
      <c r="S103">
        <v>101</v>
      </c>
      <c r="T103" s="37" t="s">
        <v>120</v>
      </c>
      <c r="U103" s="42" t="s">
        <v>110</v>
      </c>
      <c r="V103" s="42" t="s">
        <v>32</v>
      </c>
    </row>
    <row r="104" spans="19:22">
      <c r="S104">
        <v>102</v>
      </c>
      <c r="T104" s="37" t="s">
        <v>107</v>
      </c>
      <c r="U104" s="42" t="s">
        <v>31</v>
      </c>
      <c r="V104" s="42" t="s">
        <v>32</v>
      </c>
    </row>
    <row r="105" spans="19:22">
      <c r="S105">
        <v>103</v>
      </c>
      <c r="T105" s="67" t="s">
        <v>147</v>
      </c>
      <c r="U105" s="42" t="s">
        <v>41</v>
      </c>
      <c r="V105" s="42" t="s">
        <v>32</v>
      </c>
    </row>
  </sheetData>
  <sortState xmlns:xlrd2="http://schemas.microsoft.com/office/spreadsheetml/2017/richdata2" ref="T3:V104">
    <sortCondition ref="T3"/>
  </sortState>
  <mergeCells count="14">
    <mergeCell ref="H26:I26"/>
    <mergeCell ref="L26:M26"/>
    <mergeCell ref="H31:I31"/>
    <mergeCell ref="L31:M31"/>
    <mergeCell ref="A3:F3"/>
    <mergeCell ref="A11:N11"/>
    <mergeCell ref="C21:M21"/>
    <mergeCell ref="C22:M22"/>
    <mergeCell ref="C23:M23"/>
    <mergeCell ref="B13:B14"/>
    <mergeCell ref="B16:B17"/>
    <mergeCell ref="B19:B20"/>
    <mergeCell ref="N12:N24"/>
    <mergeCell ref="C24:M24"/>
  </mergeCells>
  <dataValidations count="1">
    <dataValidation type="list" allowBlank="1" showInputMessage="1" showErrorMessage="1" sqref="L7" xr:uid="{47683C61-190E-447A-BACF-E00D970A50F5}">
      <formula1>$T$3:$T$105</formula1>
    </dataValidation>
  </dataValidations>
  <pageMargins left="0.7" right="0.7" top="0.75" bottom="0.75" header="0.3" footer="0.3"/>
  <pageSetup paperSize="9" orientation="landscape" r:id="rId1"/>
  <headerFooter>
    <oddHeader>&amp;C
&amp;G</oddHead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08ABE4-C1E6-497A-8602-2BAD0BF0C8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88cmputer</dc:creator>
  <cp:lastModifiedBy>user</cp:lastModifiedBy>
  <cp:lastPrinted>2025-12-05T03:13:13Z</cp:lastPrinted>
  <dcterms:created xsi:type="dcterms:W3CDTF">2024-11-07T14:18:00Z</dcterms:created>
  <dcterms:modified xsi:type="dcterms:W3CDTF">2026-05-25T02:48:09Z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F853B1CD44B5422FA44F30F1E819BCEF_13</vt:lpwstr>
  </property>
  <property fmtid="{D5CDD505-2E9C-101B-9397-08002B2CF9AE}" pid="3" name="KSOProductBuildVer">
    <vt:lpwstr>1057-12.2.0.19307</vt:lpwstr>
  </property>
</Properties>
</file>